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400" windowWidth="18780" windowHeight="6520"/>
  </bookViews>
  <sheets>
    <sheet name="requirements" sheetId="1" r:id="rId1"/>
    <sheet name="matching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2" i="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"/>
  <c r="D2" i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1"/>
</calcChain>
</file>

<file path=xl/sharedStrings.xml><?xml version="1.0" encoding="utf-8"?>
<sst xmlns="http://schemas.openxmlformats.org/spreadsheetml/2006/main" count="553" uniqueCount="257">
  <si>
    <t>altair</t>
  </si>
  <si>
    <t>5.2.0</t>
  </si>
  <si>
    <t>attrs</t>
  </si>
  <si>
    <t>23.1.0</t>
  </si>
  <si>
    <t>blinker</t>
  </si>
  <si>
    <t>1.7.0</t>
  </si>
  <si>
    <t>cachetools</t>
  </si>
  <si>
    <t>5.3.2</t>
  </si>
  <si>
    <t>certifi</t>
  </si>
  <si>
    <t>2023.11.17</t>
  </si>
  <si>
    <t>charset-normalizer</t>
  </si>
  <si>
    <t>3.3.2</t>
  </si>
  <si>
    <t>click</t>
  </si>
  <si>
    <t>8.1.7</t>
  </si>
  <si>
    <t>contourpy</t>
  </si>
  <si>
    <t>1.2.0</t>
  </si>
  <si>
    <t>cycler</t>
  </si>
  <si>
    <t>0.12.1</t>
  </si>
  <si>
    <t>feature-engine</t>
  </si>
  <si>
    <t>1.6.2</t>
  </si>
  <si>
    <t>fonttools</t>
  </si>
  <si>
    <t>4.46.0</t>
  </si>
  <si>
    <t>gitdb</t>
  </si>
  <si>
    <t>4.0.11</t>
  </si>
  <si>
    <t>GitPython</t>
  </si>
  <si>
    <t>3.1.40</t>
  </si>
  <si>
    <t>idna</t>
  </si>
  <si>
    <t>importlib-metadata</t>
  </si>
  <si>
    <t>6.11.0</t>
  </si>
  <si>
    <t>Jinja2</t>
  </si>
  <si>
    <t>3.1.2</t>
  </si>
  <si>
    <t>joblib</t>
  </si>
  <si>
    <t>1.3.2</t>
  </si>
  <si>
    <t>jsonschema</t>
  </si>
  <si>
    <t>4.20.0</t>
  </si>
  <si>
    <t>jsonschema-specifications</t>
  </si>
  <si>
    <t>2023.11.2</t>
  </si>
  <si>
    <t>kiwisolver</t>
  </si>
  <si>
    <t>1.4.5</t>
  </si>
  <si>
    <t>markdown-it-py</t>
  </si>
  <si>
    <t>3.0.0</t>
  </si>
  <si>
    <t>MarkupSafe</t>
  </si>
  <si>
    <t>2.1.3</t>
  </si>
  <si>
    <t>matplotlib</t>
  </si>
  <si>
    <t>3.8.2</t>
  </si>
  <si>
    <t>mdurl</t>
  </si>
  <si>
    <t>0.1.2</t>
  </si>
  <si>
    <t>numpy</t>
  </si>
  <si>
    <t>1.26.2</t>
  </si>
  <si>
    <t>pandas</t>
  </si>
  <si>
    <t>2.1.4</t>
  </si>
  <si>
    <t>patsy</t>
  </si>
  <si>
    <t>0.5.4</t>
  </si>
  <si>
    <t>Pillow</t>
  </si>
  <si>
    <t>10.1.0</t>
  </si>
  <si>
    <t>protobuf</t>
  </si>
  <si>
    <t>4.25.1</t>
  </si>
  <si>
    <t>pyarrow</t>
  </si>
  <si>
    <t>14.0.1</t>
  </si>
  <si>
    <t>pydeck</t>
  </si>
  <si>
    <t>0.8.1b0</t>
  </si>
  <si>
    <t>pyparsing</t>
  </si>
  <si>
    <t>3.1.1</t>
  </si>
  <si>
    <t>pytz</t>
  </si>
  <si>
    <t>2023.3.post1</t>
  </si>
  <si>
    <t>pywin32</t>
  </si>
  <si>
    <t>referencing</t>
  </si>
  <si>
    <t>0.32.0</t>
  </si>
  <si>
    <t>requests</t>
  </si>
  <si>
    <t>2.31.0</t>
  </si>
  <si>
    <t>rich</t>
  </si>
  <si>
    <t>13.7.0</t>
  </si>
  <si>
    <t>rpds-py</t>
  </si>
  <si>
    <t>0.13.2</t>
  </si>
  <si>
    <t>scikit-learn</t>
  </si>
  <si>
    <t>scipy</t>
  </si>
  <si>
    <t>1.11.4</t>
  </si>
  <si>
    <t>seaborn</t>
  </si>
  <si>
    <t>0.13.0</t>
  </si>
  <si>
    <t>smmap</t>
  </si>
  <si>
    <t>5.0.1</t>
  </si>
  <si>
    <t>statsmodels</t>
  </si>
  <si>
    <t>0.14.0</t>
  </si>
  <si>
    <t>streamlit</t>
  </si>
  <si>
    <t>1.29.0</t>
  </si>
  <si>
    <t>tenacity</t>
  </si>
  <si>
    <t>8.2.3</t>
  </si>
  <si>
    <t>threadpoolctl</t>
  </si>
  <si>
    <t>3.2.0</t>
  </si>
  <si>
    <t>toml</t>
  </si>
  <si>
    <t>0.10.2</t>
  </si>
  <si>
    <t>toolz</t>
  </si>
  <si>
    <t>0.12.0</t>
  </si>
  <si>
    <t>tzdata</t>
  </si>
  <si>
    <t>tzlocal</t>
  </si>
  <si>
    <t>urllib3</t>
  </si>
  <si>
    <t>2.1.0</t>
  </si>
  <si>
    <t>validators</t>
  </si>
  <si>
    <t>0.22.0</t>
  </si>
  <si>
    <t>watchdog</t>
  </si>
  <si>
    <t>xgboost</t>
  </si>
  <si>
    <t>2.0.2</t>
  </si>
  <si>
    <t xml:space="preserve"> file:///home/conda/feedstock_root/build_artifacts/asttokens_1698341106958/work</t>
  </si>
  <si>
    <t xml:space="preserve"> file:///home/conda/feedstock_root/build_artifacts/colorama_1666700638685/work</t>
  </si>
  <si>
    <t xml:space="preserve"> file:///home/conda/feedstock_root/build_artifacts/comm_1691044910542/work</t>
  </si>
  <si>
    <t xml:space="preserve"> file:///C:/b/abs_c0y1fjipt2/croot/debugpy_1690906864587/work</t>
  </si>
  <si>
    <t xml:space="preserve"> file:///home/conda/feedstock_root/build_artifacts/decorator_1641555617451/work</t>
  </si>
  <si>
    <t xml:space="preserve"> file:///home/conda/feedstock_root/build_artifacts/exceptiongroup_1700579780973/work</t>
  </si>
  <si>
    <t xml:space="preserve"> file:///home/conda/feedstock_root/build_artifacts/executing_1698579936712/work</t>
  </si>
  <si>
    <t xml:space="preserve"> file:///D:/bld/ipykernel_1698244157926/work</t>
  </si>
  <si>
    <t xml:space="preserve"> file:///D:/bld/ipython_1701831845989/work</t>
  </si>
  <si>
    <t xml:space="preserve"> file:///home/conda/feedstock_root/build_artifacts/jedi_1696326070614/work</t>
  </si>
  <si>
    <t xml:space="preserve"> file:///home/conda/feedstock_root/build_artifacts/jupyter_client_1699283905679/work</t>
  </si>
  <si>
    <t xml:space="preserve"> file:///D:/bld/jupyter_core_1698673822668/work</t>
  </si>
  <si>
    <t xml:space="preserve"> file:///home/conda/feedstock_root/build_artifacts/matplotlib-inline_1660814786464/work</t>
  </si>
  <si>
    <t xml:space="preserve"> file:///home/conda/feedstock_root/build_artifacts/nest-asyncio_1697083700168/work</t>
  </si>
  <si>
    <t xml:space="preserve"> file:///home/conda/feedstock_root/build_artifacts/packaging_1696202382185/work</t>
  </si>
  <si>
    <t xml:space="preserve"> file:///home/conda/feedstock_root/build_artifacts/parso_1638334955874/work</t>
  </si>
  <si>
    <t xml:space="preserve"> file:///home/conda/feedstock_root/build_artifacts/pickleshare_1602536217715/work</t>
  </si>
  <si>
    <t xml:space="preserve"> file:///home/conda/feedstock_root/build_artifacts/platformdirs_1701708255999/work</t>
  </si>
  <si>
    <t xml:space="preserve"> file:///home/conda/feedstock_root/build_artifacts/prompt-toolkit_1699963054032/work</t>
  </si>
  <si>
    <t xml:space="preserve"> file:///C:/ci_311_rebuilds/psutil_1679005906571/work</t>
  </si>
  <si>
    <t xml:space="preserve"> file:///home/conda/feedstock_root/build_artifacts/pure_eval_1642875951954/work</t>
  </si>
  <si>
    <t xml:space="preserve"> file:///home/conda/feedstock_root/build_artifacts/pygments_1700607939962/work</t>
  </si>
  <si>
    <t xml:space="preserve"> file:///home/conda/feedstock_root/build_artifacts/python-dateutil_1626286286081/work</t>
  </si>
  <si>
    <t xml:space="preserve"> file:///C:/b/abs_655zk4a3s8/croot/pyzmq_1686601465034/work</t>
  </si>
  <si>
    <t xml:space="preserve"> file:///home/conda/feedstock_root/build_artifacts/six_1620240208055/work</t>
  </si>
  <si>
    <t xml:space="preserve"> file:///home/conda/feedstock_root/build_artifacts/stack_data_1669632077133/work</t>
  </si>
  <si>
    <t xml:space="preserve"> file:///C:/b/abs_0cbrstidzg/croot/tornado_1696937003724/work</t>
  </si>
  <si>
    <t xml:space="preserve"> file:///home/conda/feedstock_root/build_artifacts/traitlets_1701095650114/work</t>
  </si>
  <si>
    <t xml:space="preserve"> file:///home/conda/feedstock_root/build_artifacts/typing_extensions_1695040754690/work</t>
  </si>
  <si>
    <t xml:space="preserve"> file:///home/conda/feedstock_root/build_artifacts/wcwidth_1700607916581/work</t>
  </si>
  <si>
    <t xml:space="preserve"> file:///home/conda/feedstock_root/build_artifacts/zipp_1695255097490/work</t>
  </si>
  <si>
    <t>pypi_0</t>
  </si>
  <si>
    <t>pypi</t>
  </si>
  <si>
    <t>asttokens</t>
  </si>
  <si>
    <t>2.4.1</t>
  </si>
  <si>
    <t>pyhd8ed1ab_0</t>
  </si>
  <si>
    <t>conda-forge</t>
  </si>
  <si>
    <t>bzip2</t>
  </si>
  <si>
    <t>1.0.8</t>
  </si>
  <si>
    <t>he774522_0</t>
  </si>
  <si>
    <t>ca-certificates</t>
  </si>
  <si>
    <t>h56e8100_0</t>
  </si>
  <si>
    <t>colorama</t>
  </si>
  <si>
    <t>0.4.6</t>
  </si>
  <si>
    <t>comm</t>
  </si>
  <si>
    <t>0.1.4</t>
  </si>
  <si>
    <t>debugpy</t>
  </si>
  <si>
    <t>1.6.7</t>
  </si>
  <si>
    <t>py311hd77b12b_0</t>
  </si>
  <si>
    <t>decorator</t>
  </si>
  <si>
    <t>5.1.1</t>
  </si>
  <si>
    <t>exceptiongroup</t>
  </si>
  <si>
    <t>executing</t>
  </si>
  <si>
    <t>2.0.1</t>
  </si>
  <si>
    <t>gitpython</t>
  </si>
  <si>
    <t>importlib_metadata</t>
  </si>
  <si>
    <t>7.0.0</t>
  </si>
  <si>
    <t>hd8ed1ab_0</t>
  </si>
  <si>
    <t>ipykernel</t>
  </si>
  <si>
    <t>6.26.0</t>
  </si>
  <si>
    <t>pyha63f2e9_0</t>
  </si>
  <si>
    <t>ipython</t>
  </si>
  <si>
    <t>8.18.1</t>
  </si>
  <si>
    <t>pyh7428d3b_3</t>
  </si>
  <si>
    <t>jedi</t>
  </si>
  <si>
    <t>0.19.1</t>
  </si>
  <si>
    <t>jinja2</t>
  </si>
  <si>
    <t>jupyter_client</t>
  </si>
  <si>
    <t>8.6.0</t>
  </si>
  <si>
    <t>jupyter_core</t>
  </si>
  <si>
    <t>5.5.0</t>
  </si>
  <si>
    <t>py311h1ea47a8_0</t>
  </si>
  <si>
    <t>libffi</t>
  </si>
  <si>
    <t>3.4.4</t>
  </si>
  <si>
    <t>hd77b12b_0</t>
  </si>
  <si>
    <t>libsodium</t>
  </si>
  <si>
    <t>1.0.18</t>
  </si>
  <si>
    <t>h8d14728_1</t>
  </si>
  <si>
    <t>markupsafe</t>
  </si>
  <si>
    <t>matplotlib-inline</t>
  </si>
  <si>
    <t>0.1.6</t>
  </si>
  <si>
    <t>nest-asyncio</t>
  </si>
  <si>
    <t>1.5.8</t>
  </si>
  <si>
    <t>openssl</t>
  </si>
  <si>
    <t>3.0.12</t>
  </si>
  <si>
    <t>h2bbff1b_0</t>
  </si>
  <si>
    <t>packaging</t>
  </si>
  <si>
    <t>parso</t>
  </si>
  <si>
    <t>0.8.3</t>
  </si>
  <si>
    <t>pickleshare</t>
  </si>
  <si>
    <t>0.7.5</t>
  </si>
  <si>
    <t>py_1003</t>
  </si>
  <si>
    <t>pillow</t>
  </si>
  <si>
    <t>pip</t>
  </si>
  <si>
    <t>23.3.1</t>
  </si>
  <si>
    <t>py311haa95532_0</t>
  </si>
  <si>
    <t>platformdirs</t>
  </si>
  <si>
    <t>4.1.0</t>
  </si>
  <si>
    <t>prompt-toolkit</t>
  </si>
  <si>
    <t>3.0.41</t>
  </si>
  <si>
    <t>pyha770c72_0</t>
  </si>
  <si>
    <t>psutil</t>
  </si>
  <si>
    <t>5.9.0</t>
  </si>
  <si>
    <t>py311h2bbff1b_0</t>
  </si>
  <si>
    <t>pure_eval</t>
  </si>
  <si>
    <t>0.2.2</t>
  </si>
  <si>
    <t>pygments</t>
  </si>
  <si>
    <t>2.17.2</t>
  </si>
  <si>
    <t>python</t>
  </si>
  <si>
    <t>3.11.5</t>
  </si>
  <si>
    <t>he1021f5_0</t>
  </si>
  <si>
    <t>python-dateutil</t>
  </si>
  <si>
    <t>2.8.2</t>
  </si>
  <si>
    <t>python_abi</t>
  </si>
  <si>
    <t>2_cp311</t>
  </si>
  <si>
    <t>pyzmq</t>
  </si>
  <si>
    <t>25.1.0</t>
  </si>
  <si>
    <t>setuptools</t>
  </si>
  <si>
    <t>68.0.0</t>
  </si>
  <si>
    <t>six</t>
  </si>
  <si>
    <t>1.16.0</t>
  </si>
  <si>
    <t>pyh6c4a22f_0</t>
  </si>
  <si>
    <t>sqlite</t>
  </si>
  <si>
    <t>3.41.2</t>
  </si>
  <si>
    <t>stack_data</t>
  </si>
  <si>
    <t>0.6.2</t>
  </si>
  <si>
    <t>tk</t>
  </si>
  <si>
    <t>8.6.12</t>
  </si>
  <si>
    <t>tornado</t>
  </si>
  <si>
    <t>traitlets</t>
  </si>
  <si>
    <t>5.14.0</t>
  </si>
  <si>
    <t>typing_extensions</t>
  </si>
  <si>
    <t>4.8.0</t>
  </si>
  <si>
    <t>vc</t>
  </si>
  <si>
    <t>h21ff451_1</t>
  </si>
  <si>
    <t>vs2015_runtime</t>
  </si>
  <si>
    <t>14.27.29016</t>
  </si>
  <si>
    <t>h5e58377_2</t>
  </si>
  <si>
    <t>wcwidth</t>
  </si>
  <si>
    <t>0.2.12</t>
  </si>
  <si>
    <t>wheel</t>
  </si>
  <si>
    <t>0.41.2</t>
  </si>
  <si>
    <t>xz</t>
  </si>
  <si>
    <t>5.4.5</t>
  </si>
  <si>
    <t>h8cc25b3_0</t>
  </si>
  <si>
    <t>zeromq</t>
  </si>
  <si>
    <t>4.3.4</t>
  </si>
  <si>
    <t>h0e60522_1</t>
  </si>
  <si>
    <t>zipp</t>
  </si>
  <si>
    <t>3.17.0</t>
  </si>
  <si>
    <t>zlib</t>
  </si>
  <si>
    <t>1.2.13</t>
  </si>
  <si>
    <t>pure-eval</t>
  </si>
  <si>
    <t>Pygments</t>
  </si>
  <si>
    <t>stack-data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</si>
</sst>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>
      <selection activeCell="F12" sqref="F12"/>
    </sheetView>
  </sheetViews>
  <sheetFormatPr defaultRowHeight="14.5"/>
  <cols>
    <col min="1" max="1" width="8.7265625" style="3"/>
    <col min="6" max="6" width="8.7265625" style="1"/>
  </cols>
  <sheetData>
    <row r="1" spans="1:4">
      <c r="A1" s="2" t="s">
        <v>0</v>
      </c>
      <c r="C1" t="s">
        <v>1</v>
      </c>
      <c r="D1" t="str">
        <f>IF(ISBLANK(C1),B1,C1)</f>
        <v>5.2.0</v>
      </c>
    </row>
    <row r="2" spans="1:4">
      <c r="A2" s="2" t="s">
        <v>135</v>
      </c>
      <c r="B2" t="s">
        <v>102</v>
      </c>
      <c r="D2" t="str">
        <f t="shared" ref="D2:D65" si="0">IF(ISBLANK(C2),B2,C2)</f>
        <v xml:space="preserve"> file:///home/conda/feedstock_root/build_artifacts/asttokens_1698341106958/work</v>
      </c>
    </row>
    <row r="3" spans="1:4">
      <c r="A3" s="2" t="s">
        <v>2</v>
      </c>
      <c r="C3" t="s">
        <v>3</v>
      </c>
      <c r="D3" t="str">
        <f t="shared" si="0"/>
        <v>23.1.0</v>
      </c>
    </row>
    <row r="4" spans="1:4">
      <c r="A4" s="2" t="s">
        <v>4</v>
      </c>
      <c r="C4" t="s">
        <v>5</v>
      </c>
      <c r="D4" t="str">
        <f t="shared" si="0"/>
        <v>1.7.0</v>
      </c>
    </row>
    <row r="5" spans="1:4">
      <c r="A5" s="2" t="s">
        <v>6</v>
      </c>
      <c r="C5" t="s">
        <v>7</v>
      </c>
      <c r="D5" t="str">
        <f t="shared" si="0"/>
        <v>5.3.2</v>
      </c>
    </row>
    <row r="6" spans="1:4">
      <c r="A6" s="2" t="s">
        <v>8</v>
      </c>
      <c r="C6" t="s">
        <v>9</v>
      </c>
      <c r="D6" t="str">
        <f t="shared" si="0"/>
        <v>2023.11.17</v>
      </c>
    </row>
    <row r="7" spans="1:4">
      <c r="A7" s="2" t="s">
        <v>10</v>
      </c>
      <c r="C7" t="s">
        <v>11</v>
      </c>
      <c r="D7" t="str">
        <f t="shared" si="0"/>
        <v>3.3.2</v>
      </c>
    </row>
    <row r="8" spans="1:4">
      <c r="A8" s="2" t="s">
        <v>12</v>
      </c>
      <c r="C8" t="s">
        <v>13</v>
      </c>
      <c r="D8" t="str">
        <f t="shared" si="0"/>
        <v>8.1.7</v>
      </c>
    </row>
    <row r="9" spans="1:4">
      <c r="A9" s="2" t="s">
        <v>144</v>
      </c>
      <c r="B9" t="s">
        <v>103</v>
      </c>
      <c r="D9" t="str">
        <f t="shared" si="0"/>
        <v xml:space="preserve"> file:///home/conda/feedstock_root/build_artifacts/colorama_1666700638685/work</v>
      </c>
    </row>
    <row r="10" spans="1:4">
      <c r="A10" s="2" t="s">
        <v>146</v>
      </c>
      <c r="B10" t="s">
        <v>104</v>
      </c>
      <c r="D10" t="str">
        <f t="shared" si="0"/>
        <v xml:space="preserve"> file:///home/conda/feedstock_root/build_artifacts/comm_1691044910542/work</v>
      </c>
    </row>
    <row r="11" spans="1:4">
      <c r="A11" s="2" t="s">
        <v>14</v>
      </c>
      <c r="C11" t="s">
        <v>15</v>
      </c>
      <c r="D11" t="str">
        <f t="shared" si="0"/>
        <v>1.2.0</v>
      </c>
    </row>
    <row r="12" spans="1:4">
      <c r="A12" s="2" t="s">
        <v>16</v>
      </c>
      <c r="C12" t="s">
        <v>17</v>
      </c>
      <c r="D12" t="str">
        <f t="shared" si="0"/>
        <v>0.12.1</v>
      </c>
    </row>
    <row r="13" spans="1:4">
      <c r="A13" s="2" t="s">
        <v>148</v>
      </c>
      <c r="B13" t="s">
        <v>105</v>
      </c>
      <c r="D13" t="str">
        <f t="shared" si="0"/>
        <v xml:space="preserve"> file:///C:/b/abs_c0y1fjipt2/croot/debugpy_1690906864587/work</v>
      </c>
    </row>
    <row r="14" spans="1:4">
      <c r="A14" s="2" t="s">
        <v>151</v>
      </c>
      <c r="B14" t="s">
        <v>106</v>
      </c>
      <c r="D14" t="str">
        <f t="shared" si="0"/>
        <v xml:space="preserve"> file:///home/conda/feedstock_root/build_artifacts/decorator_1641555617451/work</v>
      </c>
    </row>
    <row r="15" spans="1:4">
      <c r="A15" s="2" t="s">
        <v>153</v>
      </c>
      <c r="B15" t="s">
        <v>107</v>
      </c>
      <c r="D15" t="str">
        <f t="shared" si="0"/>
        <v xml:space="preserve"> file:///home/conda/feedstock_root/build_artifacts/exceptiongroup_1700579780973/work</v>
      </c>
    </row>
    <row r="16" spans="1:4">
      <c r="A16" s="2" t="s">
        <v>154</v>
      </c>
      <c r="B16" t="s">
        <v>108</v>
      </c>
      <c r="D16" t="str">
        <f t="shared" si="0"/>
        <v xml:space="preserve"> file:///home/conda/feedstock_root/build_artifacts/executing_1698579936712/work</v>
      </c>
    </row>
    <row r="17" spans="1:4">
      <c r="A17" s="2" t="s">
        <v>18</v>
      </c>
      <c r="C17" t="s">
        <v>19</v>
      </c>
      <c r="D17" t="str">
        <f t="shared" si="0"/>
        <v>1.6.2</v>
      </c>
    </row>
    <row r="18" spans="1:4">
      <c r="A18" s="2" t="s">
        <v>20</v>
      </c>
      <c r="C18" t="s">
        <v>21</v>
      </c>
      <c r="D18" t="str">
        <f t="shared" si="0"/>
        <v>4.46.0</v>
      </c>
    </row>
    <row r="19" spans="1:4">
      <c r="A19" s="2" t="s">
        <v>22</v>
      </c>
      <c r="C19" t="s">
        <v>23</v>
      </c>
      <c r="D19" t="str">
        <f t="shared" si="0"/>
        <v>4.0.11</v>
      </c>
    </row>
    <row r="20" spans="1:4">
      <c r="A20" s="2" t="s">
        <v>24</v>
      </c>
      <c r="C20" t="s">
        <v>25</v>
      </c>
      <c r="D20" t="str">
        <f t="shared" si="0"/>
        <v>3.1.40</v>
      </c>
    </row>
    <row r="21" spans="1:4">
      <c r="A21" s="2" t="s">
        <v>26</v>
      </c>
      <c r="C21">
        <v>3.6</v>
      </c>
      <c r="D21">
        <f t="shared" si="0"/>
        <v>3.6</v>
      </c>
    </row>
    <row r="22" spans="1:4">
      <c r="A22" s="2" t="s">
        <v>27</v>
      </c>
      <c r="C22" t="s">
        <v>28</v>
      </c>
      <c r="D22" t="str">
        <f t="shared" si="0"/>
        <v>6.11.0</v>
      </c>
    </row>
    <row r="23" spans="1:4">
      <c r="A23" s="2" t="s">
        <v>160</v>
      </c>
      <c r="B23" t="s">
        <v>109</v>
      </c>
      <c r="D23" t="str">
        <f t="shared" si="0"/>
        <v xml:space="preserve"> file:///D:/bld/ipykernel_1698244157926/work</v>
      </c>
    </row>
    <row r="24" spans="1:4">
      <c r="A24" s="2" t="s">
        <v>163</v>
      </c>
      <c r="B24" t="s">
        <v>110</v>
      </c>
      <c r="D24" t="str">
        <f t="shared" si="0"/>
        <v xml:space="preserve"> file:///D:/bld/ipython_1701831845989/work</v>
      </c>
    </row>
    <row r="25" spans="1:4">
      <c r="A25" s="2" t="s">
        <v>166</v>
      </c>
      <c r="B25" t="s">
        <v>111</v>
      </c>
      <c r="D25" t="str">
        <f t="shared" si="0"/>
        <v xml:space="preserve"> file:///home/conda/feedstock_root/build_artifacts/jedi_1696326070614/work</v>
      </c>
    </row>
    <row r="26" spans="1:4">
      <c r="A26" s="2" t="s">
        <v>29</v>
      </c>
      <c r="C26" t="s">
        <v>30</v>
      </c>
      <c r="D26" t="str">
        <f t="shared" si="0"/>
        <v>3.1.2</v>
      </c>
    </row>
    <row r="27" spans="1:4">
      <c r="A27" s="2" t="s">
        <v>31</v>
      </c>
      <c r="C27" t="s">
        <v>32</v>
      </c>
      <c r="D27" t="str">
        <f t="shared" si="0"/>
        <v>1.3.2</v>
      </c>
    </row>
    <row r="28" spans="1:4">
      <c r="A28" s="2" t="s">
        <v>33</v>
      </c>
      <c r="C28" t="s">
        <v>34</v>
      </c>
      <c r="D28" t="str">
        <f t="shared" si="0"/>
        <v>4.20.0</v>
      </c>
    </row>
    <row r="29" spans="1:4">
      <c r="A29" s="2" t="s">
        <v>35</v>
      </c>
      <c r="C29" t="s">
        <v>36</v>
      </c>
      <c r="D29" t="str">
        <f t="shared" si="0"/>
        <v>2023.11.2</v>
      </c>
    </row>
    <row r="30" spans="1:4">
      <c r="A30" s="2" t="s">
        <v>169</v>
      </c>
      <c r="B30" t="s">
        <v>112</v>
      </c>
      <c r="D30" t="str">
        <f t="shared" si="0"/>
        <v xml:space="preserve"> file:///home/conda/feedstock_root/build_artifacts/jupyter_client_1699283905679/work</v>
      </c>
    </row>
    <row r="31" spans="1:4">
      <c r="A31" s="2" t="s">
        <v>171</v>
      </c>
      <c r="B31" t="s">
        <v>113</v>
      </c>
      <c r="D31" t="str">
        <f t="shared" si="0"/>
        <v xml:space="preserve"> file:///D:/bld/jupyter_core_1698673822668/work</v>
      </c>
    </row>
    <row r="32" spans="1:4">
      <c r="A32" s="2" t="s">
        <v>37</v>
      </c>
      <c r="C32" t="s">
        <v>38</v>
      </c>
      <c r="D32" t="str">
        <f t="shared" si="0"/>
        <v>1.4.5</v>
      </c>
    </row>
    <row r="33" spans="1:4">
      <c r="A33" s="2" t="s">
        <v>39</v>
      </c>
      <c r="C33" t="s">
        <v>40</v>
      </c>
      <c r="D33" t="str">
        <f t="shared" si="0"/>
        <v>3.0.0</v>
      </c>
    </row>
    <row r="34" spans="1:4">
      <c r="A34" s="2" t="s">
        <v>41</v>
      </c>
      <c r="C34" t="s">
        <v>42</v>
      </c>
      <c r="D34" t="str">
        <f t="shared" si="0"/>
        <v>2.1.3</v>
      </c>
    </row>
    <row r="35" spans="1:4">
      <c r="A35" s="2" t="s">
        <v>43</v>
      </c>
      <c r="C35" t="s">
        <v>44</v>
      </c>
      <c r="D35" t="str">
        <f t="shared" si="0"/>
        <v>3.8.2</v>
      </c>
    </row>
    <row r="36" spans="1:4">
      <c r="A36" s="2" t="s">
        <v>181</v>
      </c>
      <c r="B36" t="s">
        <v>114</v>
      </c>
      <c r="D36" t="str">
        <f t="shared" si="0"/>
        <v xml:space="preserve"> file:///home/conda/feedstock_root/build_artifacts/matplotlib-inline_1660814786464/work</v>
      </c>
    </row>
    <row r="37" spans="1:4">
      <c r="A37" s="2" t="s">
        <v>45</v>
      </c>
      <c r="C37" t="s">
        <v>46</v>
      </c>
      <c r="D37" t="str">
        <f t="shared" si="0"/>
        <v>0.1.2</v>
      </c>
    </row>
    <row r="38" spans="1:4">
      <c r="A38" s="2" t="s">
        <v>183</v>
      </c>
      <c r="B38" t="s">
        <v>115</v>
      </c>
      <c r="D38" t="str">
        <f t="shared" si="0"/>
        <v xml:space="preserve"> file:///home/conda/feedstock_root/build_artifacts/nest-asyncio_1697083700168/work</v>
      </c>
    </row>
    <row r="39" spans="1:4">
      <c r="A39" s="2" t="s">
        <v>47</v>
      </c>
      <c r="C39" t="s">
        <v>48</v>
      </c>
      <c r="D39" t="str">
        <f t="shared" si="0"/>
        <v>1.26.2</v>
      </c>
    </row>
    <row r="40" spans="1:4">
      <c r="A40" s="2" t="s">
        <v>188</v>
      </c>
      <c r="B40" t="s">
        <v>116</v>
      </c>
      <c r="D40" t="str">
        <f t="shared" si="0"/>
        <v xml:space="preserve"> file:///home/conda/feedstock_root/build_artifacts/packaging_1696202382185/work</v>
      </c>
    </row>
    <row r="41" spans="1:4">
      <c r="A41" s="2" t="s">
        <v>49</v>
      </c>
      <c r="C41" t="s">
        <v>50</v>
      </c>
      <c r="D41" t="str">
        <f t="shared" si="0"/>
        <v>2.1.4</v>
      </c>
    </row>
    <row r="42" spans="1:4">
      <c r="A42" s="2" t="s">
        <v>189</v>
      </c>
      <c r="B42" t="s">
        <v>117</v>
      </c>
      <c r="D42" t="str">
        <f t="shared" si="0"/>
        <v xml:space="preserve"> file:///home/conda/feedstock_root/build_artifacts/parso_1638334955874/work</v>
      </c>
    </row>
    <row r="43" spans="1:4">
      <c r="A43" s="2" t="s">
        <v>51</v>
      </c>
      <c r="C43" t="s">
        <v>52</v>
      </c>
      <c r="D43" t="str">
        <f t="shared" si="0"/>
        <v>0.5.4</v>
      </c>
    </row>
    <row r="44" spans="1:4">
      <c r="A44" s="2" t="s">
        <v>191</v>
      </c>
      <c r="B44" t="s">
        <v>118</v>
      </c>
      <c r="D44" t="str">
        <f t="shared" si="0"/>
        <v xml:space="preserve"> file:///home/conda/feedstock_root/build_artifacts/pickleshare_1602536217715/work</v>
      </c>
    </row>
    <row r="45" spans="1:4">
      <c r="A45" s="2" t="s">
        <v>53</v>
      </c>
      <c r="C45" t="s">
        <v>54</v>
      </c>
      <c r="D45" t="str">
        <f t="shared" si="0"/>
        <v>10.1.0</v>
      </c>
    </row>
    <row r="46" spans="1:4">
      <c r="A46" s="2" t="s">
        <v>198</v>
      </c>
      <c r="B46" t="s">
        <v>119</v>
      </c>
      <c r="D46" t="str">
        <f t="shared" si="0"/>
        <v xml:space="preserve"> file:///home/conda/feedstock_root/build_artifacts/platformdirs_1701708255999/work</v>
      </c>
    </row>
    <row r="47" spans="1:4">
      <c r="A47" s="2" t="s">
        <v>200</v>
      </c>
      <c r="B47" t="s">
        <v>120</v>
      </c>
      <c r="D47" t="str">
        <f t="shared" si="0"/>
        <v xml:space="preserve"> file:///home/conda/feedstock_root/build_artifacts/prompt-toolkit_1699963054032/work</v>
      </c>
    </row>
    <row r="48" spans="1:4">
      <c r="A48" s="2" t="s">
        <v>55</v>
      </c>
      <c r="C48" t="s">
        <v>56</v>
      </c>
      <c r="D48" t="str">
        <f t="shared" si="0"/>
        <v>4.25.1</v>
      </c>
    </row>
    <row r="49" spans="1:4">
      <c r="A49" s="2" t="s">
        <v>203</v>
      </c>
      <c r="B49" t="s">
        <v>121</v>
      </c>
      <c r="D49" t="str">
        <f t="shared" si="0"/>
        <v xml:space="preserve"> file:///C:/ci_311_rebuilds/psutil_1679005906571/work</v>
      </c>
    </row>
    <row r="50" spans="1:4">
      <c r="A50" s="2" t="s">
        <v>254</v>
      </c>
      <c r="B50" t="s">
        <v>122</v>
      </c>
      <c r="D50" t="str">
        <f t="shared" si="0"/>
        <v xml:space="preserve"> file:///home/conda/feedstock_root/build_artifacts/pure_eval_1642875951954/work</v>
      </c>
    </row>
    <row r="51" spans="1:4">
      <c r="A51" s="2" t="s">
        <v>57</v>
      </c>
      <c r="C51" t="s">
        <v>58</v>
      </c>
      <c r="D51" t="str">
        <f t="shared" si="0"/>
        <v>14.0.1</v>
      </c>
    </row>
    <row r="52" spans="1:4">
      <c r="A52" s="2" t="s">
        <v>59</v>
      </c>
      <c r="C52" t="s">
        <v>60</v>
      </c>
      <c r="D52" t="str">
        <f t="shared" si="0"/>
        <v>0.8.1b0</v>
      </c>
    </row>
    <row r="53" spans="1:4">
      <c r="A53" s="2" t="s">
        <v>255</v>
      </c>
      <c r="B53" t="s">
        <v>123</v>
      </c>
      <c r="D53" t="str">
        <f t="shared" si="0"/>
        <v xml:space="preserve"> file:///home/conda/feedstock_root/build_artifacts/pygments_1700607939962/work</v>
      </c>
    </row>
    <row r="54" spans="1:4">
      <c r="A54" s="2" t="s">
        <v>61</v>
      </c>
      <c r="C54" t="s">
        <v>62</v>
      </c>
      <c r="D54" t="str">
        <f t="shared" si="0"/>
        <v>3.1.1</v>
      </c>
    </row>
    <row r="55" spans="1:4">
      <c r="A55" s="2" t="s">
        <v>213</v>
      </c>
      <c r="B55" t="s">
        <v>124</v>
      </c>
      <c r="D55" t="str">
        <f t="shared" si="0"/>
        <v xml:space="preserve"> file:///home/conda/feedstock_root/build_artifacts/python-dateutil_1626286286081/work</v>
      </c>
    </row>
    <row r="56" spans="1:4">
      <c r="A56" s="2" t="s">
        <v>63</v>
      </c>
      <c r="C56" t="s">
        <v>64</v>
      </c>
      <c r="D56" t="str">
        <f t="shared" si="0"/>
        <v>2023.3.post1</v>
      </c>
    </row>
    <row r="57" spans="1:4">
      <c r="A57" s="2" t="s">
        <v>65</v>
      </c>
      <c r="C57">
        <v>305.10000000000002</v>
      </c>
      <c r="D57">
        <f t="shared" si="0"/>
        <v>305.10000000000002</v>
      </c>
    </row>
    <row r="58" spans="1:4">
      <c r="A58" s="2" t="s">
        <v>217</v>
      </c>
      <c r="B58" t="s">
        <v>125</v>
      </c>
      <c r="D58" t="str">
        <f t="shared" si="0"/>
        <v xml:space="preserve"> file:///C:/b/abs_655zk4a3s8/croot/pyzmq_1686601465034/work</v>
      </c>
    </row>
    <row r="59" spans="1:4">
      <c r="A59" s="2" t="s">
        <v>66</v>
      </c>
      <c r="C59" t="s">
        <v>67</v>
      </c>
      <c r="D59" t="str">
        <f t="shared" si="0"/>
        <v>0.32.0</v>
      </c>
    </row>
    <row r="60" spans="1:4">
      <c r="A60" s="2" t="s">
        <v>68</v>
      </c>
      <c r="C60" t="s">
        <v>69</v>
      </c>
      <c r="D60" t="str">
        <f t="shared" si="0"/>
        <v>2.31.0</v>
      </c>
    </row>
    <row r="61" spans="1:4">
      <c r="A61" s="2" t="s">
        <v>70</v>
      </c>
      <c r="C61" t="s">
        <v>71</v>
      </c>
      <c r="D61" t="str">
        <f t="shared" si="0"/>
        <v>13.7.0</v>
      </c>
    </row>
    <row r="62" spans="1:4">
      <c r="A62" s="2" t="s">
        <v>72</v>
      </c>
      <c r="C62" t="s">
        <v>73</v>
      </c>
      <c r="D62" t="str">
        <f t="shared" si="0"/>
        <v>0.13.2</v>
      </c>
    </row>
    <row r="63" spans="1:4">
      <c r="A63" s="2" t="s">
        <v>74</v>
      </c>
      <c r="C63" t="s">
        <v>32</v>
      </c>
      <c r="D63" t="str">
        <f t="shared" si="0"/>
        <v>1.3.2</v>
      </c>
    </row>
    <row r="64" spans="1:4">
      <c r="A64" s="2" t="s">
        <v>75</v>
      </c>
      <c r="C64" t="s">
        <v>76</v>
      </c>
      <c r="D64" t="str">
        <f t="shared" si="0"/>
        <v>1.11.4</v>
      </c>
    </row>
    <row r="65" spans="1:4">
      <c r="A65" s="2" t="s">
        <v>77</v>
      </c>
      <c r="C65" t="s">
        <v>78</v>
      </c>
      <c r="D65" t="str">
        <f t="shared" si="0"/>
        <v>0.13.0</v>
      </c>
    </row>
    <row r="66" spans="1:4">
      <c r="A66" s="2" t="s">
        <v>221</v>
      </c>
      <c r="B66" t="s">
        <v>126</v>
      </c>
      <c r="D66" t="str">
        <f t="shared" ref="D66:D85" si="1">IF(ISBLANK(C66),B66,C66)</f>
        <v xml:space="preserve"> file:///home/conda/feedstock_root/build_artifacts/six_1620240208055/work</v>
      </c>
    </row>
    <row r="67" spans="1:4">
      <c r="A67" s="2" t="s">
        <v>79</v>
      </c>
      <c r="C67" t="s">
        <v>80</v>
      </c>
      <c r="D67" t="str">
        <f t="shared" si="1"/>
        <v>5.0.1</v>
      </c>
    </row>
    <row r="68" spans="1:4">
      <c r="A68" s="2" t="s">
        <v>256</v>
      </c>
      <c r="B68" t="s">
        <v>127</v>
      </c>
      <c r="D68" t="str">
        <f t="shared" si="1"/>
        <v xml:space="preserve"> file:///home/conda/feedstock_root/build_artifacts/stack_data_1669632077133/work</v>
      </c>
    </row>
    <row r="69" spans="1:4">
      <c r="A69" s="2" t="s">
        <v>81</v>
      </c>
      <c r="C69" t="s">
        <v>82</v>
      </c>
      <c r="D69" t="str">
        <f t="shared" si="1"/>
        <v>0.14.0</v>
      </c>
    </row>
    <row r="70" spans="1:4">
      <c r="A70" s="2" t="s">
        <v>83</v>
      </c>
      <c r="C70" t="s">
        <v>84</v>
      </c>
      <c r="D70" t="str">
        <f t="shared" si="1"/>
        <v>1.29.0</v>
      </c>
    </row>
    <row r="71" spans="1:4">
      <c r="A71" s="2" t="s">
        <v>85</v>
      </c>
      <c r="C71" t="s">
        <v>86</v>
      </c>
      <c r="D71" t="str">
        <f t="shared" si="1"/>
        <v>8.2.3</v>
      </c>
    </row>
    <row r="72" spans="1:4">
      <c r="A72" s="2" t="s">
        <v>87</v>
      </c>
      <c r="C72" t="s">
        <v>88</v>
      </c>
      <c r="D72" t="str">
        <f t="shared" si="1"/>
        <v>3.2.0</v>
      </c>
    </row>
    <row r="73" spans="1:4">
      <c r="A73" s="2" t="s">
        <v>89</v>
      </c>
      <c r="C73" t="s">
        <v>90</v>
      </c>
      <c r="D73" t="str">
        <f t="shared" si="1"/>
        <v>0.10.2</v>
      </c>
    </row>
    <row r="74" spans="1:4">
      <c r="A74" s="2" t="s">
        <v>91</v>
      </c>
      <c r="C74" t="s">
        <v>92</v>
      </c>
      <c r="D74" t="str">
        <f t="shared" si="1"/>
        <v>0.12.0</v>
      </c>
    </row>
    <row r="75" spans="1:4">
      <c r="A75" s="2" t="s">
        <v>230</v>
      </c>
      <c r="B75" t="s">
        <v>128</v>
      </c>
      <c r="D75" t="str">
        <f t="shared" si="1"/>
        <v xml:space="preserve"> file:///C:/b/abs_0cbrstidzg/croot/tornado_1696937003724/work</v>
      </c>
    </row>
    <row r="76" spans="1:4">
      <c r="A76" s="2" t="s">
        <v>231</v>
      </c>
      <c r="B76" t="s">
        <v>129</v>
      </c>
      <c r="D76" t="str">
        <f t="shared" si="1"/>
        <v xml:space="preserve"> file:///home/conda/feedstock_root/build_artifacts/traitlets_1701095650114/work</v>
      </c>
    </row>
    <row r="77" spans="1:4">
      <c r="A77" s="2" t="s">
        <v>233</v>
      </c>
      <c r="B77" t="s">
        <v>130</v>
      </c>
      <c r="D77" t="str">
        <f t="shared" si="1"/>
        <v xml:space="preserve"> file:///home/conda/feedstock_root/build_artifacts/typing_extensions_1695040754690/work</v>
      </c>
    </row>
    <row r="78" spans="1:4">
      <c r="A78" s="2" t="s">
        <v>93</v>
      </c>
      <c r="C78">
        <v>2023.3</v>
      </c>
      <c r="D78">
        <f t="shared" si="1"/>
        <v>2023.3</v>
      </c>
    </row>
    <row r="79" spans="1:4">
      <c r="A79" s="2" t="s">
        <v>94</v>
      </c>
      <c r="C79">
        <v>5.2</v>
      </c>
      <c r="D79">
        <f t="shared" si="1"/>
        <v>5.2</v>
      </c>
    </row>
    <row r="80" spans="1:4">
      <c r="A80" s="2" t="s">
        <v>95</v>
      </c>
      <c r="C80" t="s">
        <v>96</v>
      </c>
      <c r="D80" t="str">
        <f t="shared" si="1"/>
        <v>2.1.0</v>
      </c>
    </row>
    <row r="81" spans="1:4">
      <c r="A81" s="2" t="s">
        <v>97</v>
      </c>
      <c r="C81" t="s">
        <v>98</v>
      </c>
      <c r="D81" t="str">
        <f t="shared" si="1"/>
        <v>0.22.0</v>
      </c>
    </row>
    <row r="82" spans="1:4">
      <c r="A82" s="2" t="s">
        <v>99</v>
      </c>
      <c r="C82" t="s">
        <v>40</v>
      </c>
      <c r="D82" t="str">
        <f t="shared" si="1"/>
        <v>3.0.0</v>
      </c>
    </row>
    <row r="83" spans="1:4">
      <c r="A83" s="2" t="s">
        <v>240</v>
      </c>
      <c r="B83" t="s">
        <v>131</v>
      </c>
      <c r="D83" t="str">
        <f t="shared" si="1"/>
        <v xml:space="preserve"> file:///home/conda/feedstock_root/build_artifacts/wcwidth_1700607916581/work</v>
      </c>
    </row>
    <row r="84" spans="1:4">
      <c r="A84" s="2" t="s">
        <v>100</v>
      </c>
      <c r="C84" t="s">
        <v>101</v>
      </c>
      <c r="D84" t="str">
        <f t="shared" si="1"/>
        <v>2.0.2</v>
      </c>
    </row>
    <row r="85" spans="1:4">
      <c r="A85" s="2" t="s">
        <v>250</v>
      </c>
      <c r="B85" t="s">
        <v>132</v>
      </c>
      <c r="D85" t="str">
        <f t="shared" si="1"/>
        <v xml:space="preserve"> file:///home/conda/feedstock_root/build_artifacts/zipp_1695255097490/work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topLeftCell="A55" workbookViewId="0">
      <selection activeCell="E97" sqref="E97"/>
    </sheetView>
  </sheetViews>
  <sheetFormatPr defaultRowHeight="14.5"/>
  <cols>
    <col min="1" max="1" width="19.90625" customWidth="1"/>
  </cols>
  <sheetData>
    <row r="1" spans="1:5">
      <c r="A1" t="s">
        <v>0</v>
      </c>
      <c r="B1" t="s">
        <v>1</v>
      </c>
      <c r="C1" t="s">
        <v>133</v>
      </c>
      <c r="D1" t="s">
        <v>134</v>
      </c>
      <c r="E1" t="str">
        <f>VLOOKUP(A1,requirements!$A$1:$D$85,4,0)</f>
        <v>5.2.0</v>
      </c>
    </row>
    <row r="2" spans="1:5">
      <c r="A2" t="s">
        <v>135</v>
      </c>
      <c r="B2" t="s">
        <v>136</v>
      </c>
      <c r="C2" t="s">
        <v>137</v>
      </c>
      <c r="D2" t="s">
        <v>138</v>
      </c>
      <c r="E2" t="str">
        <f>VLOOKUP(A2,requirements!$A$1:$D$85,4,0)</f>
        <v xml:space="preserve"> file:///home/conda/feedstock_root/build_artifacts/asttokens_1698341106958/work</v>
      </c>
    </row>
    <row r="3" spans="1:5">
      <c r="A3" t="s">
        <v>2</v>
      </c>
      <c r="B3" t="s">
        <v>3</v>
      </c>
      <c r="C3" t="s">
        <v>133</v>
      </c>
      <c r="D3" t="s">
        <v>134</v>
      </c>
      <c r="E3" t="str">
        <f>VLOOKUP(A3,requirements!$A$1:$D$85,4,0)</f>
        <v>23.1.0</v>
      </c>
    </row>
    <row r="4" spans="1:5">
      <c r="A4" t="s">
        <v>4</v>
      </c>
      <c r="B4" t="s">
        <v>5</v>
      </c>
      <c r="C4" t="s">
        <v>133</v>
      </c>
      <c r="D4" t="s">
        <v>134</v>
      </c>
      <c r="E4" t="str">
        <f>VLOOKUP(A4,requirements!$A$1:$D$85,4,0)</f>
        <v>1.7.0</v>
      </c>
    </row>
    <row r="5" spans="1:5">
      <c r="A5" t="s">
        <v>139</v>
      </c>
      <c r="B5" t="s">
        <v>140</v>
      </c>
      <c r="C5" t="s">
        <v>141</v>
      </c>
      <c r="E5" t="e">
        <f>VLOOKUP(A5,requirements!$A$1:$D$85,4,0)</f>
        <v>#N/A</v>
      </c>
    </row>
    <row r="6" spans="1:5">
      <c r="A6" t="s">
        <v>142</v>
      </c>
      <c r="B6" t="s">
        <v>9</v>
      </c>
      <c r="C6" t="s">
        <v>143</v>
      </c>
      <c r="D6" t="s">
        <v>138</v>
      </c>
      <c r="E6" t="e">
        <f>VLOOKUP(A6,requirements!$A$1:$D$85,4,0)</f>
        <v>#N/A</v>
      </c>
    </row>
    <row r="7" spans="1:5">
      <c r="A7" t="s">
        <v>6</v>
      </c>
      <c r="B7" t="s">
        <v>7</v>
      </c>
      <c r="C7" t="s">
        <v>133</v>
      </c>
      <c r="D7" t="s">
        <v>134</v>
      </c>
      <c r="E7" t="str">
        <f>VLOOKUP(A7,requirements!$A$1:$D$85,4,0)</f>
        <v>5.3.2</v>
      </c>
    </row>
    <row r="8" spans="1:5">
      <c r="A8" t="s">
        <v>8</v>
      </c>
      <c r="B8" t="s">
        <v>9</v>
      </c>
      <c r="C8" t="s">
        <v>133</v>
      </c>
      <c r="D8" t="s">
        <v>134</v>
      </c>
      <c r="E8" t="str">
        <f>VLOOKUP(A8,requirements!$A$1:$D$85,4,0)</f>
        <v>2023.11.17</v>
      </c>
    </row>
    <row r="9" spans="1:5">
      <c r="A9" t="s">
        <v>10</v>
      </c>
      <c r="B9" t="s">
        <v>11</v>
      </c>
      <c r="C9" t="s">
        <v>133</v>
      </c>
      <c r="D9" t="s">
        <v>134</v>
      </c>
      <c r="E9" t="str">
        <f>VLOOKUP(A9,requirements!$A$1:$D$85,4,0)</f>
        <v>3.3.2</v>
      </c>
    </row>
    <row r="10" spans="1:5">
      <c r="A10" t="s">
        <v>12</v>
      </c>
      <c r="B10" t="s">
        <v>13</v>
      </c>
      <c r="C10" t="s">
        <v>133</v>
      </c>
      <c r="D10" t="s">
        <v>134</v>
      </c>
      <c r="E10" t="str">
        <f>VLOOKUP(A10,requirements!$A$1:$D$85,4,0)</f>
        <v>8.1.7</v>
      </c>
    </row>
    <row r="11" spans="1:5">
      <c r="A11" t="s">
        <v>144</v>
      </c>
      <c r="B11" t="s">
        <v>145</v>
      </c>
      <c r="C11" t="s">
        <v>137</v>
      </c>
      <c r="D11" t="s">
        <v>138</v>
      </c>
      <c r="E11" t="str">
        <f>VLOOKUP(A11,requirements!$A$1:$D$85,4,0)</f>
        <v xml:space="preserve"> file:///home/conda/feedstock_root/build_artifacts/colorama_1666700638685/work</v>
      </c>
    </row>
    <row r="12" spans="1:5">
      <c r="A12" t="s">
        <v>146</v>
      </c>
      <c r="B12" t="s">
        <v>147</v>
      </c>
      <c r="C12" t="s">
        <v>137</v>
      </c>
      <c r="D12" t="s">
        <v>138</v>
      </c>
      <c r="E12" t="str">
        <f>VLOOKUP(A12,requirements!$A$1:$D$85,4,0)</f>
        <v xml:space="preserve"> file:///home/conda/feedstock_root/build_artifacts/comm_1691044910542/work</v>
      </c>
    </row>
    <row r="13" spans="1:5">
      <c r="A13" t="s">
        <v>14</v>
      </c>
      <c r="B13" t="s">
        <v>15</v>
      </c>
      <c r="C13" t="s">
        <v>133</v>
      </c>
      <c r="D13" t="s">
        <v>134</v>
      </c>
      <c r="E13" t="str">
        <f>VLOOKUP(A13,requirements!$A$1:$D$85,4,0)</f>
        <v>1.2.0</v>
      </c>
    </row>
    <row r="14" spans="1:5">
      <c r="A14" t="s">
        <v>16</v>
      </c>
      <c r="B14" t="s">
        <v>17</v>
      </c>
      <c r="C14" t="s">
        <v>133</v>
      </c>
      <c r="D14" t="s">
        <v>134</v>
      </c>
      <c r="E14" t="str">
        <f>VLOOKUP(A14,requirements!$A$1:$D$85,4,0)</f>
        <v>0.12.1</v>
      </c>
    </row>
    <row r="15" spans="1:5">
      <c r="A15" t="s">
        <v>148</v>
      </c>
      <c r="B15" t="s">
        <v>149</v>
      </c>
      <c r="C15" t="s">
        <v>150</v>
      </c>
      <c r="E15" t="str">
        <f>VLOOKUP(A15,requirements!$A$1:$D$85,4,0)</f>
        <v xml:space="preserve"> file:///C:/b/abs_c0y1fjipt2/croot/debugpy_1690906864587/work</v>
      </c>
    </row>
    <row r="16" spans="1:5">
      <c r="A16" t="s">
        <v>151</v>
      </c>
      <c r="B16" t="s">
        <v>152</v>
      </c>
      <c r="C16" t="s">
        <v>137</v>
      </c>
      <c r="D16" t="s">
        <v>138</v>
      </c>
      <c r="E16" t="str">
        <f>VLOOKUP(A16,requirements!$A$1:$D$85,4,0)</f>
        <v xml:space="preserve"> file:///home/conda/feedstock_root/build_artifacts/decorator_1641555617451/work</v>
      </c>
    </row>
    <row r="17" spans="1:5">
      <c r="A17" t="s">
        <v>153</v>
      </c>
      <c r="B17" t="s">
        <v>15</v>
      </c>
      <c r="C17" t="s">
        <v>137</v>
      </c>
      <c r="D17" t="s">
        <v>138</v>
      </c>
      <c r="E17" t="str">
        <f>VLOOKUP(A17,requirements!$A$1:$D$85,4,0)</f>
        <v xml:space="preserve"> file:///home/conda/feedstock_root/build_artifacts/exceptiongroup_1700579780973/work</v>
      </c>
    </row>
    <row r="18" spans="1:5">
      <c r="A18" t="s">
        <v>154</v>
      </c>
      <c r="B18" t="s">
        <v>155</v>
      </c>
      <c r="C18" t="s">
        <v>137</v>
      </c>
      <c r="D18" t="s">
        <v>138</v>
      </c>
      <c r="E18" t="str">
        <f>VLOOKUP(A18,requirements!$A$1:$D$85,4,0)</f>
        <v xml:space="preserve"> file:///home/conda/feedstock_root/build_artifacts/executing_1698579936712/work</v>
      </c>
    </row>
    <row r="19" spans="1:5">
      <c r="A19" t="s">
        <v>18</v>
      </c>
      <c r="B19" t="s">
        <v>19</v>
      </c>
      <c r="C19" t="s">
        <v>133</v>
      </c>
      <c r="D19" t="s">
        <v>134</v>
      </c>
      <c r="E19" t="str">
        <f>VLOOKUP(A19,requirements!$A$1:$D$85,4,0)</f>
        <v>1.6.2</v>
      </c>
    </row>
    <row r="20" spans="1:5">
      <c r="A20" t="s">
        <v>20</v>
      </c>
      <c r="B20" t="s">
        <v>21</v>
      </c>
      <c r="C20" t="s">
        <v>133</v>
      </c>
      <c r="D20" t="s">
        <v>134</v>
      </c>
      <c r="E20" t="str">
        <f>VLOOKUP(A20,requirements!$A$1:$D$85,4,0)</f>
        <v>4.46.0</v>
      </c>
    </row>
    <row r="21" spans="1:5">
      <c r="A21" t="s">
        <v>22</v>
      </c>
      <c r="B21" t="s">
        <v>23</v>
      </c>
      <c r="C21" t="s">
        <v>133</v>
      </c>
      <c r="D21" t="s">
        <v>134</v>
      </c>
      <c r="E21" t="str">
        <f>VLOOKUP(A21,requirements!$A$1:$D$85,4,0)</f>
        <v>4.0.11</v>
      </c>
    </row>
    <row r="22" spans="1:5">
      <c r="A22" t="s">
        <v>156</v>
      </c>
      <c r="B22" t="s">
        <v>25</v>
      </c>
      <c r="C22" t="s">
        <v>133</v>
      </c>
      <c r="D22" t="s">
        <v>134</v>
      </c>
      <c r="E22" t="str">
        <f>VLOOKUP(A22,requirements!$A$1:$D$85,4,0)</f>
        <v>3.1.40</v>
      </c>
    </row>
    <row r="23" spans="1:5">
      <c r="A23" t="s">
        <v>26</v>
      </c>
      <c r="B23">
        <v>3.6</v>
      </c>
      <c r="C23" t="s">
        <v>133</v>
      </c>
      <c r="D23" t="s">
        <v>134</v>
      </c>
      <c r="E23">
        <f>VLOOKUP(A23,requirements!$A$1:$D$85,4,0)</f>
        <v>3.6</v>
      </c>
    </row>
    <row r="24" spans="1:5">
      <c r="A24" t="s">
        <v>27</v>
      </c>
      <c r="B24" t="s">
        <v>28</v>
      </c>
      <c r="C24" t="s">
        <v>133</v>
      </c>
      <c r="D24" t="s">
        <v>134</v>
      </c>
      <c r="E24" t="str">
        <f>VLOOKUP(A24,requirements!$A$1:$D$85,4,0)</f>
        <v>6.11.0</v>
      </c>
    </row>
    <row r="25" spans="1:5">
      <c r="A25" t="s">
        <v>157</v>
      </c>
      <c r="B25" t="s">
        <v>158</v>
      </c>
      <c r="C25" t="s">
        <v>159</v>
      </c>
      <c r="D25" t="s">
        <v>138</v>
      </c>
      <c r="E25" t="e">
        <f>VLOOKUP(A25,requirements!$A$1:$D$85,4,0)</f>
        <v>#N/A</v>
      </c>
    </row>
    <row r="26" spans="1:5">
      <c r="A26" t="s">
        <v>160</v>
      </c>
      <c r="B26" t="s">
        <v>161</v>
      </c>
      <c r="C26" t="s">
        <v>162</v>
      </c>
      <c r="D26" t="s">
        <v>138</v>
      </c>
      <c r="E26" t="str">
        <f>VLOOKUP(A26,requirements!$A$1:$D$85,4,0)</f>
        <v xml:space="preserve"> file:///D:/bld/ipykernel_1698244157926/work</v>
      </c>
    </row>
    <row r="27" spans="1:5">
      <c r="A27" t="s">
        <v>163</v>
      </c>
      <c r="B27" t="s">
        <v>164</v>
      </c>
      <c r="C27" t="s">
        <v>165</v>
      </c>
      <c r="D27" t="s">
        <v>138</v>
      </c>
      <c r="E27" t="str">
        <f>VLOOKUP(A27,requirements!$A$1:$D$85,4,0)</f>
        <v xml:space="preserve"> file:///D:/bld/ipython_1701831845989/work</v>
      </c>
    </row>
    <row r="28" spans="1:5">
      <c r="A28" t="s">
        <v>166</v>
      </c>
      <c r="B28" t="s">
        <v>167</v>
      </c>
      <c r="C28" t="s">
        <v>137</v>
      </c>
      <c r="D28" t="s">
        <v>138</v>
      </c>
      <c r="E28" t="str">
        <f>VLOOKUP(A28,requirements!$A$1:$D$85,4,0)</f>
        <v xml:space="preserve"> file:///home/conda/feedstock_root/build_artifacts/jedi_1696326070614/work</v>
      </c>
    </row>
    <row r="29" spans="1:5">
      <c r="A29" t="s">
        <v>168</v>
      </c>
      <c r="B29" t="s">
        <v>30</v>
      </c>
      <c r="C29" t="s">
        <v>133</v>
      </c>
      <c r="D29" t="s">
        <v>134</v>
      </c>
      <c r="E29" t="str">
        <f>VLOOKUP(A29,requirements!$A$1:$D$85,4,0)</f>
        <v>3.1.2</v>
      </c>
    </row>
    <row r="30" spans="1:5">
      <c r="A30" t="s">
        <v>31</v>
      </c>
      <c r="B30" t="s">
        <v>32</v>
      </c>
      <c r="C30" t="s">
        <v>133</v>
      </c>
      <c r="D30" t="s">
        <v>134</v>
      </c>
      <c r="E30" t="str">
        <f>VLOOKUP(A30,requirements!$A$1:$D$85,4,0)</f>
        <v>1.3.2</v>
      </c>
    </row>
    <row r="31" spans="1:5">
      <c r="A31" t="s">
        <v>33</v>
      </c>
      <c r="B31" t="s">
        <v>34</v>
      </c>
      <c r="C31" t="s">
        <v>133</v>
      </c>
      <c r="D31" t="s">
        <v>134</v>
      </c>
      <c r="E31" t="str">
        <f>VLOOKUP(A31,requirements!$A$1:$D$85,4,0)</f>
        <v>4.20.0</v>
      </c>
    </row>
    <row r="32" spans="1:5">
      <c r="A32" t="s">
        <v>35</v>
      </c>
      <c r="B32" t="s">
        <v>36</v>
      </c>
      <c r="C32" t="s">
        <v>133</v>
      </c>
      <c r="D32" t="s">
        <v>134</v>
      </c>
      <c r="E32" t="str">
        <f>VLOOKUP(A32,requirements!$A$1:$D$85,4,0)</f>
        <v>2023.11.2</v>
      </c>
    </row>
    <row r="33" spans="1:5">
      <c r="A33" t="s">
        <v>169</v>
      </c>
      <c r="B33" t="s">
        <v>170</v>
      </c>
      <c r="C33" t="s">
        <v>137</v>
      </c>
      <c r="D33" t="s">
        <v>138</v>
      </c>
      <c r="E33" t="str">
        <f>VLOOKUP(A33,requirements!$A$1:$D$85,4,0)</f>
        <v xml:space="preserve"> file:///home/conda/feedstock_root/build_artifacts/jupyter_client_1699283905679/work</v>
      </c>
    </row>
    <row r="34" spans="1:5">
      <c r="A34" t="s">
        <v>171</v>
      </c>
      <c r="B34" t="s">
        <v>172</v>
      </c>
      <c r="C34" t="s">
        <v>173</v>
      </c>
      <c r="D34" t="s">
        <v>138</v>
      </c>
      <c r="E34" t="str">
        <f>VLOOKUP(A34,requirements!$A$1:$D$85,4,0)</f>
        <v xml:space="preserve"> file:///D:/bld/jupyter_core_1698673822668/work</v>
      </c>
    </row>
    <row r="35" spans="1:5">
      <c r="A35" t="s">
        <v>37</v>
      </c>
      <c r="B35" t="s">
        <v>38</v>
      </c>
      <c r="C35" t="s">
        <v>133</v>
      </c>
      <c r="D35" t="s">
        <v>134</v>
      </c>
      <c r="E35" t="str">
        <f>VLOOKUP(A35,requirements!$A$1:$D$85,4,0)</f>
        <v>1.4.5</v>
      </c>
    </row>
    <row r="36" spans="1:5">
      <c r="A36" t="s">
        <v>174</v>
      </c>
      <c r="B36" t="s">
        <v>175</v>
      </c>
      <c r="C36" t="s">
        <v>176</v>
      </c>
      <c r="E36" t="e">
        <f>VLOOKUP(A36,requirements!$A$1:$D$85,4,0)</f>
        <v>#N/A</v>
      </c>
    </row>
    <row r="37" spans="1:5">
      <c r="A37" t="s">
        <v>177</v>
      </c>
      <c r="B37" t="s">
        <v>178</v>
      </c>
      <c r="C37" t="s">
        <v>179</v>
      </c>
      <c r="D37" t="s">
        <v>138</v>
      </c>
      <c r="E37" t="e">
        <f>VLOOKUP(A37,requirements!$A$1:$D$85,4,0)</f>
        <v>#N/A</v>
      </c>
    </row>
    <row r="38" spans="1:5">
      <c r="A38" t="s">
        <v>39</v>
      </c>
      <c r="B38" t="s">
        <v>40</v>
      </c>
      <c r="C38" t="s">
        <v>133</v>
      </c>
      <c r="D38" t="s">
        <v>134</v>
      </c>
      <c r="E38" t="str">
        <f>VLOOKUP(A38,requirements!$A$1:$D$85,4,0)</f>
        <v>3.0.0</v>
      </c>
    </row>
    <row r="39" spans="1:5">
      <c r="A39" t="s">
        <v>180</v>
      </c>
      <c r="B39" t="s">
        <v>42</v>
      </c>
      <c r="C39" t="s">
        <v>133</v>
      </c>
      <c r="D39" t="s">
        <v>134</v>
      </c>
      <c r="E39" t="str">
        <f>VLOOKUP(A39,requirements!$A$1:$D$85,4,0)</f>
        <v>2.1.3</v>
      </c>
    </row>
    <row r="40" spans="1:5">
      <c r="A40" t="s">
        <v>43</v>
      </c>
      <c r="B40" t="s">
        <v>44</v>
      </c>
      <c r="C40" t="s">
        <v>133</v>
      </c>
      <c r="D40" t="s">
        <v>134</v>
      </c>
      <c r="E40" t="str">
        <f>VLOOKUP(A40,requirements!$A$1:$D$85,4,0)</f>
        <v>3.8.2</v>
      </c>
    </row>
    <row r="41" spans="1:5">
      <c r="A41" t="s">
        <v>181</v>
      </c>
      <c r="B41" t="s">
        <v>182</v>
      </c>
      <c r="C41" t="s">
        <v>137</v>
      </c>
      <c r="D41" t="s">
        <v>138</v>
      </c>
      <c r="E41" t="str">
        <f>VLOOKUP(A41,requirements!$A$1:$D$85,4,0)</f>
        <v xml:space="preserve"> file:///home/conda/feedstock_root/build_artifacts/matplotlib-inline_1660814786464/work</v>
      </c>
    </row>
    <row r="42" spans="1:5">
      <c r="A42" t="s">
        <v>45</v>
      </c>
      <c r="B42" t="s">
        <v>46</v>
      </c>
      <c r="C42" t="s">
        <v>133</v>
      </c>
      <c r="D42" t="s">
        <v>134</v>
      </c>
      <c r="E42" t="str">
        <f>VLOOKUP(A42,requirements!$A$1:$D$85,4,0)</f>
        <v>0.1.2</v>
      </c>
    </row>
    <row r="43" spans="1:5">
      <c r="A43" t="s">
        <v>183</v>
      </c>
      <c r="B43" t="s">
        <v>184</v>
      </c>
      <c r="C43" t="s">
        <v>137</v>
      </c>
      <c r="D43" t="s">
        <v>138</v>
      </c>
      <c r="E43" t="str">
        <f>VLOOKUP(A43,requirements!$A$1:$D$85,4,0)</f>
        <v xml:space="preserve"> file:///home/conda/feedstock_root/build_artifacts/nest-asyncio_1697083700168/work</v>
      </c>
    </row>
    <row r="44" spans="1:5">
      <c r="A44" t="s">
        <v>47</v>
      </c>
      <c r="B44" t="s">
        <v>48</v>
      </c>
      <c r="C44" t="s">
        <v>133</v>
      </c>
      <c r="D44" t="s">
        <v>134</v>
      </c>
      <c r="E44" t="str">
        <f>VLOOKUP(A44,requirements!$A$1:$D$85,4,0)</f>
        <v>1.26.2</v>
      </c>
    </row>
    <row r="45" spans="1:5">
      <c r="A45" t="s">
        <v>185</v>
      </c>
      <c r="B45" t="s">
        <v>186</v>
      </c>
      <c r="C45" t="s">
        <v>187</v>
      </c>
      <c r="E45" t="e">
        <f>VLOOKUP(A45,requirements!$A$1:$D$85,4,0)</f>
        <v>#N/A</v>
      </c>
    </row>
    <row r="46" spans="1:5">
      <c r="A46" t="s">
        <v>188</v>
      </c>
      <c r="B46">
        <v>23.2</v>
      </c>
      <c r="C46" t="s">
        <v>137</v>
      </c>
      <c r="D46" t="s">
        <v>138</v>
      </c>
      <c r="E46" t="str">
        <f>VLOOKUP(A46,requirements!$A$1:$D$85,4,0)</f>
        <v xml:space="preserve"> file:///home/conda/feedstock_root/build_artifacts/packaging_1696202382185/work</v>
      </c>
    </row>
    <row r="47" spans="1:5">
      <c r="A47" t="s">
        <v>49</v>
      </c>
      <c r="B47" t="s">
        <v>50</v>
      </c>
      <c r="C47" t="s">
        <v>133</v>
      </c>
      <c r="D47" t="s">
        <v>134</v>
      </c>
      <c r="E47" t="str">
        <f>VLOOKUP(A47,requirements!$A$1:$D$85,4,0)</f>
        <v>2.1.4</v>
      </c>
    </row>
    <row r="48" spans="1:5">
      <c r="A48" t="s">
        <v>189</v>
      </c>
      <c r="B48" t="s">
        <v>190</v>
      </c>
      <c r="C48" t="s">
        <v>137</v>
      </c>
      <c r="D48" t="s">
        <v>138</v>
      </c>
      <c r="E48" t="str">
        <f>VLOOKUP(A48,requirements!$A$1:$D$85,4,0)</f>
        <v xml:space="preserve"> file:///home/conda/feedstock_root/build_artifacts/parso_1638334955874/work</v>
      </c>
    </row>
    <row r="49" spans="1:5">
      <c r="A49" t="s">
        <v>51</v>
      </c>
      <c r="B49" t="s">
        <v>52</v>
      </c>
      <c r="C49" t="s">
        <v>133</v>
      </c>
      <c r="D49" t="s">
        <v>134</v>
      </c>
      <c r="E49" t="str">
        <f>VLOOKUP(A49,requirements!$A$1:$D$85,4,0)</f>
        <v>0.5.4</v>
      </c>
    </row>
    <row r="50" spans="1:5">
      <c r="A50" t="s">
        <v>191</v>
      </c>
      <c r="B50" t="s">
        <v>192</v>
      </c>
      <c r="C50" t="s">
        <v>193</v>
      </c>
      <c r="D50" t="s">
        <v>138</v>
      </c>
      <c r="E50" t="str">
        <f>VLOOKUP(A50,requirements!$A$1:$D$85,4,0)</f>
        <v xml:space="preserve"> file:///home/conda/feedstock_root/build_artifacts/pickleshare_1602536217715/work</v>
      </c>
    </row>
    <row r="51" spans="1:5">
      <c r="A51" t="s">
        <v>194</v>
      </c>
      <c r="B51" t="s">
        <v>54</v>
      </c>
      <c r="C51" t="s">
        <v>133</v>
      </c>
      <c r="D51" t="s">
        <v>134</v>
      </c>
      <c r="E51" t="str">
        <f>VLOOKUP(A51,requirements!$A$1:$D$85,4,0)</f>
        <v>10.1.0</v>
      </c>
    </row>
    <row r="52" spans="1:5">
      <c r="A52" t="s">
        <v>195</v>
      </c>
      <c r="B52" t="s">
        <v>196</v>
      </c>
      <c r="C52" t="s">
        <v>197</v>
      </c>
      <c r="E52" t="e">
        <f>VLOOKUP(A52,requirements!$A$1:$D$85,4,0)</f>
        <v>#N/A</v>
      </c>
    </row>
    <row r="53" spans="1:5">
      <c r="A53" t="s">
        <v>198</v>
      </c>
      <c r="B53" t="s">
        <v>199</v>
      </c>
      <c r="C53" t="s">
        <v>137</v>
      </c>
      <c r="D53" t="s">
        <v>138</v>
      </c>
      <c r="E53" t="str">
        <f>VLOOKUP(A53,requirements!$A$1:$D$85,4,0)</f>
        <v xml:space="preserve"> file:///home/conda/feedstock_root/build_artifacts/platformdirs_1701708255999/work</v>
      </c>
    </row>
    <row r="54" spans="1:5">
      <c r="A54" t="s">
        <v>200</v>
      </c>
      <c r="B54" t="s">
        <v>201</v>
      </c>
      <c r="C54" t="s">
        <v>202</v>
      </c>
      <c r="D54" t="s">
        <v>138</v>
      </c>
      <c r="E54" t="str">
        <f>VLOOKUP(A54,requirements!$A$1:$D$85,4,0)</f>
        <v xml:space="preserve"> file:///home/conda/feedstock_root/build_artifacts/prompt-toolkit_1699963054032/work</v>
      </c>
    </row>
    <row r="55" spans="1:5">
      <c r="A55" t="s">
        <v>55</v>
      </c>
      <c r="B55" t="s">
        <v>56</v>
      </c>
      <c r="C55" t="s">
        <v>133</v>
      </c>
      <c r="D55" t="s">
        <v>134</v>
      </c>
      <c r="E55" t="str">
        <f>VLOOKUP(A55,requirements!$A$1:$D$85,4,0)</f>
        <v>4.25.1</v>
      </c>
    </row>
    <row r="56" spans="1:5">
      <c r="A56" t="s">
        <v>203</v>
      </c>
      <c r="B56" t="s">
        <v>204</v>
      </c>
      <c r="C56" t="s">
        <v>205</v>
      </c>
      <c r="E56" t="str">
        <f>VLOOKUP(A56,requirements!$A$1:$D$85,4,0)</f>
        <v xml:space="preserve"> file:///C:/ci_311_rebuilds/psutil_1679005906571/work</v>
      </c>
    </row>
    <row r="57" spans="1:5">
      <c r="A57" t="s">
        <v>206</v>
      </c>
      <c r="B57" t="s">
        <v>207</v>
      </c>
      <c r="C57" t="s">
        <v>137</v>
      </c>
      <c r="D57" t="s">
        <v>138</v>
      </c>
      <c r="E57" t="e">
        <f>VLOOKUP(A57,requirements!$A$1:$D$85,4,0)</f>
        <v>#N/A</v>
      </c>
    </row>
    <row r="58" spans="1:5">
      <c r="A58" t="s">
        <v>57</v>
      </c>
      <c r="B58" t="s">
        <v>58</v>
      </c>
      <c r="C58" t="s">
        <v>133</v>
      </c>
      <c r="D58" t="s">
        <v>134</v>
      </c>
      <c r="E58" t="str">
        <f>VLOOKUP(A58,requirements!$A$1:$D$85,4,0)</f>
        <v>14.0.1</v>
      </c>
    </row>
    <row r="59" spans="1:5">
      <c r="A59" t="s">
        <v>59</v>
      </c>
      <c r="B59" t="s">
        <v>60</v>
      </c>
      <c r="C59" t="s">
        <v>133</v>
      </c>
      <c r="D59" t="s">
        <v>134</v>
      </c>
      <c r="E59" t="str">
        <f>VLOOKUP(A59,requirements!$A$1:$D$85,4,0)</f>
        <v>0.8.1b0</v>
      </c>
    </row>
    <row r="60" spans="1:5">
      <c r="A60" t="s">
        <v>208</v>
      </c>
      <c r="B60" t="s">
        <v>209</v>
      </c>
      <c r="C60" t="s">
        <v>137</v>
      </c>
      <c r="D60" t="s">
        <v>138</v>
      </c>
      <c r="E60" t="str">
        <f>VLOOKUP(A60,requirements!$A$1:$D$85,4,0)</f>
        <v xml:space="preserve"> file:///home/conda/feedstock_root/build_artifacts/pygments_1700607939962/work</v>
      </c>
    </row>
    <row r="61" spans="1:5">
      <c r="A61" t="s">
        <v>61</v>
      </c>
      <c r="B61" t="s">
        <v>62</v>
      </c>
      <c r="C61" t="s">
        <v>133</v>
      </c>
      <c r="D61" t="s">
        <v>134</v>
      </c>
      <c r="E61" t="str">
        <f>VLOOKUP(A61,requirements!$A$1:$D$85,4,0)</f>
        <v>3.1.1</v>
      </c>
    </row>
    <row r="62" spans="1:5">
      <c r="A62" t="s">
        <v>210</v>
      </c>
      <c r="B62" t="s">
        <v>211</v>
      </c>
      <c r="C62" t="s">
        <v>212</v>
      </c>
      <c r="E62" t="e">
        <f>VLOOKUP(A62,requirements!$A$1:$D$85,4,0)</f>
        <v>#N/A</v>
      </c>
    </row>
    <row r="63" spans="1:5">
      <c r="A63" t="s">
        <v>213</v>
      </c>
      <c r="B63" t="s">
        <v>214</v>
      </c>
      <c r="C63" t="s">
        <v>137</v>
      </c>
      <c r="D63" t="s">
        <v>138</v>
      </c>
      <c r="E63" t="str">
        <f>VLOOKUP(A63,requirements!$A$1:$D$85,4,0)</f>
        <v xml:space="preserve"> file:///home/conda/feedstock_root/build_artifacts/python-dateutil_1626286286081/work</v>
      </c>
    </row>
    <row r="64" spans="1:5">
      <c r="A64" t="s">
        <v>215</v>
      </c>
      <c r="B64">
        <v>3.11</v>
      </c>
      <c r="C64" t="s">
        <v>216</v>
      </c>
      <c r="D64" t="s">
        <v>138</v>
      </c>
      <c r="E64" t="e">
        <f>VLOOKUP(A64,requirements!$A$1:$D$85,4,0)</f>
        <v>#N/A</v>
      </c>
    </row>
    <row r="65" spans="1:5">
      <c r="A65" t="s">
        <v>63</v>
      </c>
      <c r="B65" t="s">
        <v>64</v>
      </c>
      <c r="C65" t="s">
        <v>133</v>
      </c>
      <c r="D65" t="s">
        <v>134</v>
      </c>
      <c r="E65" t="str">
        <f>VLOOKUP(A65,requirements!$A$1:$D$85,4,0)</f>
        <v>2023.3.post1</v>
      </c>
    </row>
    <row r="66" spans="1:5">
      <c r="A66" t="s">
        <v>65</v>
      </c>
      <c r="B66">
        <v>305</v>
      </c>
      <c r="C66" t="s">
        <v>205</v>
      </c>
      <c r="E66">
        <f>VLOOKUP(A66,requirements!$A$1:$D$85,4,0)</f>
        <v>305.10000000000002</v>
      </c>
    </row>
    <row r="67" spans="1:5">
      <c r="A67" t="s">
        <v>217</v>
      </c>
      <c r="B67" t="s">
        <v>218</v>
      </c>
      <c r="C67" t="s">
        <v>150</v>
      </c>
      <c r="E67" t="str">
        <f>VLOOKUP(A67,requirements!$A$1:$D$85,4,0)</f>
        <v xml:space="preserve"> file:///C:/b/abs_655zk4a3s8/croot/pyzmq_1686601465034/work</v>
      </c>
    </row>
    <row r="68" spans="1:5">
      <c r="A68" t="s">
        <v>66</v>
      </c>
      <c r="B68" t="s">
        <v>67</v>
      </c>
      <c r="C68" t="s">
        <v>133</v>
      </c>
      <c r="D68" t="s">
        <v>134</v>
      </c>
      <c r="E68" t="str">
        <f>VLOOKUP(A68,requirements!$A$1:$D$85,4,0)</f>
        <v>0.32.0</v>
      </c>
    </row>
    <row r="69" spans="1:5">
      <c r="A69" t="s">
        <v>68</v>
      </c>
      <c r="B69" t="s">
        <v>69</v>
      </c>
      <c r="C69" t="s">
        <v>133</v>
      </c>
      <c r="D69" t="s">
        <v>134</v>
      </c>
      <c r="E69" t="str">
        <f>VLOOKUP(A69,requirements!$A$1:$D$85,4,0)</f>
        <v>2.31.0</v>
      </c>
    </row>
    <row r="70" spans="1:5">
      <c r="A70" t="s">
        <v>70</v>
      </c>
      <c r="B70" t="s">
        <v>71</v>
      </c>
      <c r="C70" t="s">
        <v>133</v>
      </c>
      <c r="D70" t="s">
        <v>134</v>
      </c>
      <c r="E70" t="str">
        <f>VLOOKUP(A70,requirements!$A$1:$D$85,4,0)</f>
        <v>13.7.0</v>
      </c>
    </row>
    <row r="71" spans="1:5">
      <c r="A71" t="s">
        <v>72</v>
      </c>
      <c r="B71" t="s">
        <v>73</v>
      </c>
      <c r="C71" t="s">
        <v>133</v>
      </c>
      <c r="D71" t="s">
        <v>134</v>
      </c>
      <c r="E71" t="str">
        <f>VLOOKUP(A71,requirements!$A$1:$D$85,4,0)</f>
        <v>0.13.2</v>
      </c>
    </row>
    <row r="72" spans="1:5">
      <c r="A72" t="s">
        <v>74</v>
      </c>
      <c r="B72" t="s">
        <v>32</v>
      </c>
      <c r="C72" t="s">
        <v>133</v>
      </c>
      <c r="D72" t="s">
        <v>134</v>
      </c>
      <c r="E72" t="str">
        <f>VLOOKUP(A72,requirements!$A$1:$D$85,4,0)</f>
        <v>1.3.2</v>
      </c>
    </row>
    <row r="73" spans="1:5">
      <c r="A73" t="s">
        <v>75</v>
      </c>
      <c r="B73" t="s">
        <v>76</v>
      </c>
      <c r="C73" t="s">
        <v>133</v>
      </c>
      <c r="D73" t="s">
        <v>134</v>
      </c>
      <c r="E73" t="str">
        <f>VLOOKUP(A73,requirements!$A$1:$D$85,4,0)</f>
        <v>1.11.4</v>
      </c>
    </row>
    <row r="74" spans="1:5">
      <c r="A74" t="s">
        <v>77</v>
      </c>
      <c r="B74" t="s">
        <v>78</v>
      </c>
      <c r="C74" t="s">
        <v>133</v>
      </c>
      <c r="D74" t="s">
        <v>134</v>
      </c>
      <c r="E74" t="str">
        <f>VLOOKUP(A74,requirements!$A$1:$D$85,4,0)</f>
        <v>0.13.0</v>
      </c>
    </row>
    <row r="75" spans="1:5">
      <c r="A75" t="s">
        <v>219</v>
      </c>
      <c r="B75" t="s">
        <v>220</v>
      </c>
      <c r="C75" t="s">
        <v>197</v>
      </c>
      <c r="E75" t="e">
        <f>VLOOKUP(A75,requirements!$A$1:$D$85,4,0)</f>
        <v>#N/A</v>
      </c>
    </row>
    <row r="76" spans="1:5">
      <c r="A76" t="s">
        <v>221</v>
      </c>
      <c r="B76" t="s">
        <v>222</v>
      </c>
      <c r="C76" t="s">
        <v>223</v>
      </c>
      <c r="D76" t="s">
        <v>138</v>
      </c>
      <c r="E76" t="str">
        <f>VLOOKUP(A76,requirements!$A$1:$D$85,4,0)</f>
        <v xml:space="preserve"> file:///home/conda/feedstock_root/build_artifacts/six_1620240208055/work</v>
      </c>
    </row>
    <row r="77" spans="1:5">
      <c r="A77" t="s">
        <v>79</v>
      </c>
      <c r="B77" t="s">
        <v>80</v>
      </c>
      <c r="C77" t="s">
        <v>133</v>
      </c>
      <c r="D77" t="s">
        <v>134</v>
      </c>
      <c r="E77" t="str">
        <f>VLOOKUP(A77,requirements!$A$1:$D$85,4,0)</f>
        <v>5.0.1</v>
      </c>
    </row>
    <row r="78" spans="1:5">
      <c r="A78" t="s">
        <v>224</v>
      </c>
      <c r="B78" t="s">
        <v>225</v>
      </c>
      <c r="C78" t="s">
        <v>187</v>
      </c>
      <c r="E78" t="e">
        <f>VLOOKUP(A78,requirements!$A$1:$D$85,4,0)</f>
        <v>#N/A</v>
      </c>
    </row>
    <row r="79" spans="1:5">
      <c r="A79" t="s">
        <v>226</v>
      </c>
      <c r="B79" t="s">
        <v>227</v>
      </c>
      <c r="C79" t="s">
        <v>137</v>
      </c>
      <c r="D79" t="s">
        <v>138</v>
      </c>
      <c r="E79" t="e">
        <f>VLOOKUP(A79,requirements!$A$1:$D$85,4,0)</f>
        <v>#N/A</v>
      </c>
    </row>
    <row r="80" spans="1:5">
      <c r="A80" t="s">
        <v>81</v>
      </c>
      <c r="B80" t="s">
        <v>82</v>
      </c>
      <c r="C80" t="s">
        <v>133</v>
      </c>
      <c r="D80" t="s">
        <v>134</v>
      </c>
      <c r="E80" t="str">
        <f>VLOOKUP(A80,requirements!$A$1:$D$85,4,0)</f>
        <v>0.14.0</v>
      </c>
    </row>
    <row r="81" spans="1:5">
      <c r="A81" t="s">
        <v>83</v>
      </c>
      <c r="B81" t="s">
        <v>84</v>
      </c>
      <c r="C81" t="s">
        <v>133</v>
      </c>
      <c r="D81" t="s">
        <v>134</v>
      </c>
      <c r="E81" t="str">
        <f>VLOOKUP(A81,requirements!$A$1:$D$85,4,0)</f>
        <v>1.29.0</v>
      </c>
    </row>
    <row r="82" spans="1:5">
      <c r="A82" t="s">
        <v>85</v>
      </c>
      <c r="B82" t="s">
        <v>86</v>
      </c>
      <c r="C82" t="s">
        <v>133</v>
      </c>
      <c r="D82" t="s">
        <v>134</v>
      </c>
      <c r="E82" t="str">
        <f>VLOOKUP(A82,requirements!$A$1:$D$85,4,0)</f>
        <v>8.2.3</v>
      </c>
    </row>
    <row r="83" spans="1:5">
      <c r="A83" t="s">
        <v>87</v>
      </c>
      <c r="B83" t="s">
        <v>88</v>
      </c>
      <c r="C83" t="s">
        <v>133</v>
      </c>
      <c r="D83" t="s">
        <v>134</v>
      </c>
      <c r="E83" t="str">
        <f>VLOOKUP(A83,requirements!$A$1:$D$85,4,0)</f>
        <v>3.2.0</v>
      </c>
    </row>
    <row r="84" spans="1:5">
      <c r="A84" t="s">
        <v>228</v>
      </c>
      <c r="B84" t="s">
        <v>229</v>
      </c>
      <c r="C84" t="s">
        <v>187</v>
      </c>
      <c r="E84" t="e">
        <f>VLOOKUP(A84,requirements!$A$1:$D$85,4,0)</f>
        <v>#N/A</v>
      </c>
    </row>
    <row r="85" spans="1:5">
      <c r="A85" t="s">
        <v>89</v>
      </c>
      <c r="B85" t="s">
        <v>90</v>
      </c>
      <c r="C85" t="s">
        <v>133</v>
      </c>
      <c r="D85" t="s">
        <v>134</v>
      </c>
      <c r="E85" t="str">
        <f>VLOOKUP(A85,requirements!$A$1:$D$85,4,0)</f>
        <v>0.10.2</v>
      </c>
    </row>
    <row r="86" spans="1:5">
      <c r="A86" t="s">
        <v>91</v>
      </c>
      <c r="B86" t="s">
        <v>92</v>
      </c>
      <c r="C86" t="s">
        <v>133</v>
      </c>
      <c r="D86" t="s">
        <v>134</v>
      </c>
      <c r="E86" t="str">
        <f>VLOOKUP(A86,requirements!$A$1:$D$85,4,0)</f>
        <v>0.12.0</v>
      </c>
    </row>
    <row r="87" spans="1:5">
      <c r="A87" t="s">
        <v>230</v>
      </c>
      <c r="B87">
        <v>6.4</v>
      </c>
      <c r="C87" t="s">
        <v>133</v>
      </c>
      <c r="D87" t="s">
        <v>134</v>
      </c>
      <c r="E87" t="str">
        <f>VLOOKUP(A87,requirements!$A$1:$D$85,4,0)</f>
        <v xml:space="preserve"> file:///C:/b/abs_0cbrstidzg/croot/tornado_1696937003724/work</v>
      </c>
    </row>
    <row r="88" spans="1:5">
      <c r="A88" t="s">
        <v>231</v>
      </c>
      <c r="B88" t="s">
        <v>232</v>
      </c>
      <c r="C88" t="s">
        <v>137</v>
      </c>
      <c r="D88" t="s">
        <v>138</v>
      </c>
      <c r="E88" t="str">
        <f>VLOOKUP(A88,requirements!$A$1:$D$85,4,0)</f>
        <v xml:space="preserve"> file:///home/conda/feedstock_root/build_artifacts/traitlets_1701095650114/work</v>
      </c>
    </row>
    <row r="89" spans="1:5">
      <c r="A89" t="s">
        <v>233</v>
      </c>
      <c r="B89" t="s">
        <v>234</v>
      </c>
      <c r="C89" t="s">
        <v>202</v>
      </c>
      <c r="D89" t="s">
        <v>138</v>
      </c>
      <c r="E89" t="str">
        <f>VLOOKUP(A89,requirements!$A$1:$D$85,4,0)</f>
        <v xml:space="preserve"> file:///home/conda/feedstock_root/build_artifacts/typing_extensions_1695040754690/work</v>
      </c>
    </row>
    <row r="90" spans="1:5">
      <c r="A90" t="s">
        <v>93</v>
      </c>
      <c r="B90">
        <v>2023.3</v>
      </c>
      <c r="C90" t="s">
        <v>133</v>
      </c>
      <c r="D90" t="s">
        <v>134</v>
      </c>
      <c r="E90">
        <f>VLOOKUP(A90,requirements!$A$1:$D$85,4,0)</f>
        <v>2023.3</v>
      </c>
    </row>
    <row r="91" spans="1:5">
      <c r="A91" t="s">
        <v>94</v>
      </c>
      <c r="B91">
        <v>5.2</v>
      </c>
      <c r="C91" t="s">
        <v>133</v>
      </c>
      <c r="D91" t="s">
        <v>134</v>
      </c>
      <c r="E91">
        <f>VLOOKUP(A91,requirements!$A$1:$D$85,4,0)</f>
        <v>5.2</v>
      </c>
    </row>
    <row r="92" spans="1:5">
      <c r="A92" t="s">
        <v>95</v>
      </c>
      <c r="B92" t="s">
        <v>96</v>
      </c>
      <c r="C92" t="s">
        <v>133</v>
      </c>
      <c r="D92" t="s">
        <v>134</v>
      </c>
      <c r="E92" t="str">
        <f>VLOOKUP(A92,requirements!$A$1:$D$85,4,0)</f>
        <v>2.1.0</v>
      </c>
    </row>
    <row r="93" spans="1:5">
      <c r="A93" t="s">
        <v>97</v>
      </c>
      <c r="B93" t="s">
        <v>98</v>
      </c>
      <c r="C93" t="s">
        <v>133</v>
      </c>
      <c r="D93" t="s">
        <v>134</v>
      </c>
      <c r="E93" t="str">
        <f>VLOOKUP(A93,requirements!$A$1:$D$85,4,0)</f>
        <v>0.22.0</v>
      </c>
    </row>
    <row r="94" spans="1:5">
      <c r="A94" t="s">
        <v>235</v>
      </c>
      <c r="B94">
        <v>14.2</v>
      </c>
      <c r="C94" t="s">
        <v>236</v>
      </c>
      <c r="E94" t="e">
        <f>VLOOKUP(A94,requirements!$A$1:$D$85,4,0)</f>
        <v>#N/A</v>
      </c>
    </row>
    <row r="95" spans="1:5">
      <c r="A95" t="s">
        <v>237</v>
      </c>
      <c r="B95" t="s">
        <v>238</v>
      </c>
      <c r="C95" t="s">
        <v>239</v>
      </c>
      <c r="E95" t="e">
        <f>VLOOKUP(A95,requirements!$A$1:$D$85,4,0)</f>
        <v>#N/A</v>
      </c>
    </row>
    <row r="96" spans="1:5">
      <c r="A96" t="s">
        <v>99</v>
      </c>
      <c r="B96" t="s">
        <v>40</v>
      </c>
      <c r="C96" t="s">
        <v>133</v>
      </c>
      <c r="D96" t="s">
        <v>134</v>
      </c>
      <c r="E96" t="str">
        <f>VLOOKUP(A96,requirements!$A$1:$D$85,4,0)</f>
        <v>3.0.0</v>
      </c>
    </row>
    <row r="97" spans="1:5">
      <c r="A97" t="s">
        <v>240</v>
      </c>
      <c r="B97" t="s">
        <v>241</v>
      </c>
      <c r="C97" t="s">
        <v>137</v>
      </c>
      <c r="D97" t="s">
        <v>138</v>
      </c>
      <c r="E97" t="str">
        <f>VLOOKUP(A97,requirements!$A$1:$D$85,4,0)</f>
        <v xml:space="preserve"> file:///home/conda/feedstock_root/build_artifacts/wcwidth_1700607916581/work</v>
      </c>
    </row>
    <row r="98" spans="1:5">
      <c r="A98" t="s">
        <v>242</v>
      </c>
      <c r="B98" t="s">
        <v>243</v>
      </c>
      <c r="C98" t="s">
        <v>197</v>
      </c>
      <c r="E98" t="e">
        <f>VLOOKUP(A98,requirements!$A$1:$D$85,4,0)</f>
        <v>#N/A</v>
      </c>
    </row>
    <row r="99" spans="1:5">
      <c r="A99" t="s">
        <v>100</v>
      </c>
      <c r="B99" t="s">
        <v>101</v>
      </c>
      <c r="C99" t="s">
        <v>133</v>
      </c>
      <c r="D99" t="s">
        <v>134</v>
      </c>
      <c r="E99" t="str">
        <f>VLOOKUP(A99,requirements!$A$1:$D$85,4,0)</f>
        <v>2.0.2</v>
      </c>
    </row>
    <row r="100" spans="1:5">
      <c r="A100" t="s">
        <v>244</v>
      </c>
      <c r="B100" t="s">
        <v>245</v>
      </c>
      <c r="C100" t="s">
        <v>246</v>
      </c>
      <c r="E100" t="e">
        <f>VLOOKUP(A100,requirements!$A$1:$D$85,4,0)</f>
        <v>#N/A</v>
      </c>
    </row>
    <row r="101" spans="1:5">
      <c r="A101" t="s">
        <v>247</v>
      </c>
      <c r="B101" t="s">
        <v>248</v>
      </c>
      <c r="C101" t="s">
        <v>249</v>
      </c>
      <c r="D101" t="s">
        <v>138</v>
      </c>
      <c r="E101" t="e">
        <f>VLOOKUP(A101,requirements!$A$1:$D$85,4,0)</f>
        <v>#N/A</v>
      </c>
    </row>
    <row r="102" spans="1:5">
      <c r="A102" t="s">
        <v>250</v>
      </c>
      <c r="B102" t="s">
        <v>251</v>
      </c>
      <c r="C102" t="s">
        <v>137</v>
      </c>
      <c r="D102" t="s">
        <v>138</v>
      </c>
      <c r="E102" t="str">
        <f>VLOOKUP(A102,requirements!$A$1:$D$85,4,0)</f>
        <v xml:space="preserve"> file:///home/conda/feedstock_root/build_artifacts/zipp_1695255097490/work</v>
      </c>
    </row>
    <row r="103" spans="1:5">
      <c r="A103" t="s">
        <v>252</v>
      </c>
      <c r="B103" t="s">
        <v>253</v>
      </c>
      <c r="C103" t="s">
        <v>246</v>
      </c>
      <c r="E103" t="e">
        <f>VLOOKUP(A103,requirements!$A$1:$D$85,4,0)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matching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Law</dc:creator>
  <cp:lastModifiedBy>Sunny Law</cp:lastModifiedBy>
  <dcterms:created xsi:type="dcterms:W3CDTF">2023-12-09T15:30:47Z</dcterms:created>
  <dcterms:modified xsi:type="dcterms:W3CDTF">2023-12-09T15:37:27Z</dcterms:modified>
</cp:coreProperties>
</file>